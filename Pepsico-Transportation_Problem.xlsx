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D433166-2F0D-476B-B869-8DFA7E87E674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Data" sheetId="1" r:id="rId1"/>
    <sheet name="Solution" sheetId="2" r:id="rId2"/>
    <sheet name="__OpenSolverCache__" sheetId="3" state="hidden" r:id="rId3"/>
    <sheet name="__OpenSolver__" sheetId="4" state="hidden" r:id="rId4"/>
  </sheets>
  <definedNames>
    <definedName name="solver_adj" localSheetId="1" hidden="1">Solution!$B$10:$F$12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Solution!$B$13:$F$13</definedName>
    <definedName name="solver_lhs2" localSheetId="1" hidden="1">Solution!$G$10:$G$12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Solution!$B$18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2</definedName>
    <definedName name="solver_rhs1" localSheetId="1" hidden="1">Solution!$B$15:$F$15</definedName>
    <definedName name="solver_rhs2" localSheetId="1" hidden="1">Solution!$I$10:$I$12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A11" i="4" s="1"/>
  <c r="F13" i="2"/>
  <c r="C13" i="2"/>
  <c r="A18" i="4"/>
  <c r="A17" i="4"/>
  <c r="A16" i="4"/>
  <c r="A15" i="4"/>
  <c r="A14" i="4"/>
  <c r="A13" i="4"/>
  <c r="A12" i="4"/>
  <c r="A10" i="4"/>
  <c r="A9" i="4"/>
  <c r="A8" i="4"/>
  <c r="A7" i="4"/>
  <c r="A6" i="4"/>
  <c r="A5" i="4"/>
  <c r="A4" i="4"/>
  <c r="A3" i="4"/>
  <c r="A2" i="4"/>
  <c r="A1" i="4"/>
  <c r="E13" i="2"/>
  <c r="D13" i="2"/>
  <c r="B13" i="2"/>
  <c r="G12" i="2"/>
  <c r="G11" i="2"/>
  <c r="G10" i="2"/>
  <c r="J5" i="2"/>
  <c r="J4" i="2"/>
</calcChain>
</file>

<file path=xl/sharedStrings.xml><?xml version="1.0" encoding="utf-8"?>
<sst xmlns="http://schemas.openxmlformats.org/spreadsheetml/2006/main" count="108" uniqueCount="43">
  <si>
    <t>Distance Matrix (in kilometers)</t>
  </si>
  <si>
    <t>Sylhet</t>
  </si>
  <si>
    <t>Bogura</t>
  </si>
  <si>
    <t>Chittagong</t>
  </si>
  <si>
    <t>Khulna</t>
  </si>
  <si>
    <t>Gazipur</t>
  </si>
  <si>
    <t>Konabari</t>
  </si>
  <si>
    <t>Bagher Bazar</t>
  </si>
  <si>
    <t xml:space="preserve">Toll Costs </t>
  </si>
  <si>
    <t>Factory</t>
  </si>
  <si>
    <t>Routes</t>
  </si>
  <si>
    <t>Toll Roads</t>
  </si>
  <si>
    <t>Toll Costs</t>
  </si>
  <si>
    <t>Total Toll Cost</t>
  </si>
  <si>
    <t>KonaBari</t>
  </si>
  <si>
    <t>Aushkandi - Sherpur Rd</t>
  </si>
  <si>
    <t>Dhaka - Sylhet Highway</t>
  </si>
  <si>
    <t>Total Costs(Considering a minimum Traveling cost of 140 Tk per Kilometer)</t>
  </si>
  <si>
    <t>Jamtola-Charshindur Road</t>
  </si>
  <si>
    <t>Jamuna Bridge</t>
  </si>
  <si>
    <t>Bostail-Madanpur Highway</t>
  </si>
  <si>
    <t>Dhaka - Chittagong Highway</t>
  </si>
  <si>
    <t>Padma Brg Rd</t>
  </si>
  <si>
    <t>Dhaka - Mawa Highway</t>
  </si>
  <si>
    <t>Mohammad Hanif Flyover</t>
  </si>
  <si>
    <t>N/A</t>
  </si>
  <si>
    <t>Mayor Hanif Flyover</t>
  </si>
  <si>
    <t>Kaptan Bazar Flyover</t>
  </si>
  <si>
    <t>Kachpur Road</t>
  </si>
  <si>
    <t>Khulna City Bypass</t>
  </si>
  <si>
    <t>Padma Bridge Road</t>
  </si>
  <si>
    <t>Dhaka Mawa Highway</t>
  </si>
  <si>
    <t xml:space="preserve">Transportation costs, Demand and Supply </t>
  </si>
  <si>
    <t>Supply(Cartoons)</t>
  </si>
  <si>
    <t>Total Supply=</t>
  </si>
  <si>
    <t>Total Demand=</t>
  </si>
  <si>
    <t>Demand(Cartoons)</t>
  </si>
  <si>
    <t>LHS</t>
  </si>
  <si>
    <t>Relation</t>
  </si>
  <si>
    <t xml:space="preserve">= </t>
  </si>
  <si>
    <t>&lt;=</t>
  </si>
  <si>
    <t>Total Received</t>
  </si>
  <si>
    <t>Total Minimum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</si>
</sst>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ED96F"/>
        <bgColor rgb="FFFED96F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8CBAF"/>
        <bgColor rgb="FFF8CBA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3" borderId="4" xfId="0" applyFont="1" applyFill="1" applyBorder="1"/>
    <xf numFmtId="0" fontId="3" fillId="3" borderId="4" xfId="0" applyFont="1" applyFill="1" applyBorder="1" applyAlignment="1"/>
    <xf numFmtId="0" fontId="3" fillId="4" borderId="4" xfId="0" applyFont="1" applyFill="1" applyBorder="1" applyAlignment="1"/>
    <xf numFmtId="0" fontId="4" fillId="4" borderId="4" xfId="0" applyFont="1" applyFill="1" applyBorder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/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/>
    <xf numFmtId="3" fontId="3" fillId="0" borderId="4" xfId="0" applyNumberFormat="1" applyFont="1" applyBorder="1" applyAlignment="1"/>
    <xf numFmtId="0" fontId="4" fillId="3" borderId="4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3" fontId="4" fillId="7" borderId="4" xfId="0" applyNumberFormat="1" applyFont="1" applyFill="1" applyBorder="1" applyAlignment="1"/>
    <xf numFmtId="0" fontId="4" fillId="6" borderId="4" xfId="0" applyFont="1" applyFill="1" applyBorder="1" applyAlignment="1">
      <alignment horizontal="right" vertical="center"/>
    </xf>
    <xf numFmtId="3" fontId="4" fillId="0" borderId="4" xfId="0" applyNumberFormat="1" applyFont="1" applyBorder="1" applyAlignment="1"/>
    <xf numFmtId="0" fontId="3" fillId="8" borderId="4" xfId="0" applyFont="1" applyFill="1" applyBorder="1" applyAlignment="1">
      <alignment horizontal="center" vertical="center"/>
    </xf>
    <xf numFmtId="3" fontId="3" fillId="9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/>
    <xf numFmtId="0" fontId="4" fillId="0" borderId="4" xfId="0" applyFont="1" applyBorder="1" applyAlignment="1"/>
    <xf numFmtId="0" fontId="4" fillId="10" borderId="4" xfId="0" applyFont="1" applyFill="1" applyBorder="1" applyAlignment="1"/>
    <xf numFmtId="0" fontId="4" fillId="0" borderId="4" xfId="0" quotePrefix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11" borderId="0" xfId="0" applyFont="1" applyFill="1" applyAlignment="1"/>
    <xf numFmtId="0" fontId="4" fillId="12" borderId="0" xfId="0" applyFont="1" applyFill="1"/>
    <xf numFmtId="0" fontId="4" fillId="0" borderId="0" xfId="0" applyFont="1"/>
    <xf numFmtId="0" fontId="4" fillId="0" borderId="0" xfId="0" applyFont="1"/>
    <xf numFmtId="0" fontId="4" fillId="6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2" fillId="6" borderId="7" xfId="0" applyFont="1" applyFill="1" applyBorder="1"/>
    <xf numFmtId="0" fontId="2" fillId="3" borderId="7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2" fillId="6" borderId="6" xfId="0" applyFont="1" applyFill="1" applyBorder="1"/>
    <xf numFmtId="0" fontId="4" fillId="6" borderId="5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3" fillId="5" borderId="1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3" xfId="0" applyFont="1" applyFill="1" applyBorder="1"/>
    <xf numFmtId="0" fontId="3" fillId="6" borderId="5" xfId="0" applyFont="1" applyFill="1" applyBorder="1" applyAlignment="1">
      <alignment horizontal="center" vertical="center"/>
    </xf>
    <xf numFmtId="0" fontId="4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0" xfId="0" applyFont="1" applyAlignment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0"/>
  <sheetViews>
    <sheetView workbookViewId="0">
      <selection sqref="A1:F1"/>
    </sheetView>
  </sheetViews>
  <sheetFormatPr defaultColWidth="12.6640625" defaultRowHeight="15.75" customHeight="1" x14ac:dyDescent="0.25"/>
  <cols>
    <col min="3" max="3" width="24.44140625" customWidth="1"/>
  </cols>
  <sheetData>
    <row r="1" spans="1:13" x14ac:dyDescent="0.25">
      <c r="A1" s="39" t="s">
        <v>0</v>
      </c>
      <c r="B1" s="40"/>
      <c r="C1" s="40"/>
      <c r="D1" s="40"/>
      <c r="E1" s="40"/>
      <c r="F1" s="41"/>
    </row>
    <row r="2" spans="1:13" x14ac:dyDescent="0.25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13" x14ac:dyDescent="0.25">
      <c r="A3" s="3" t="s">
        <v>6</v>
      </c>
      <c r="B3" s="4">
        <v>232</v>
      </c>
      <c r="C3" s="4">
        <v>157</v>
      </c>
      <c r="D3" s="4">
        <v>292</v>
      </c>
      <c r="E3" s="4">
        <v>250</v>
      </c>
      <c r="F3" s="4">
        <v>21</v>
      </c>
    </row>
    <row r="4" spans="1:13" x14ac:dyDescent="0.25">
      <c r="A4" s="2" t="s">
        <v>7</v>
      </c>
      <c r="B4" s="5">
        <v>235</v>
      </c>
      <c r="C4" s="5">
        <v>184</v>
      </c>
      <c r="D4" s="5">
        <v>311</v>
      </c>
      <c r="E4" s="5">
        <v>270</v>
      </c>
      <c r="F4" s="5">
        <v>40</v>
      </c>
    </row>
    <row r="5" spans="1:13" x14ac:dyDescent="0.25">
      <c r="A5" s="3" t="s">
        <v>3</v>
      </c>
      <c r="B5" s="4">
        <v>378</v>
      </c>
      <c r="C5" s="4">
        <v>441</v>
      </c>
      <c r="D5" s="4">
        <v>20</v>
      </c>
      <c r="E5" s="4">
        <v>450</v>
      </c>
      <c r="F5" s="4">
        <v>274</v>
      </c>
    </row>
    <row r="9" spans="1:13" x14ac:dyDescent="0.25">
      <c r="A9" s="42" t="s">
        <v>8</v>
      </c>
      <c r="B9" s="43"/>
      <c r="C9" s="43"/>
      <c r="D9" s="43"/>
      <c r="E9" s="44"/>
    </row>
    <row r="10" spans="1:13" x14ac:dyDescent="0.25">
      <c r="A10" s="6" t="s">
        <v>9</v>
      </c>
      <c r="B10" s="6" t="s">
        <v>10</v>
      </c>
      <c r="C10" s="6" t="s">
        <v>11</v>
      </c>
      <c r="D10" s="2" t="s">
        <v>12</v>
      </c>
      <c r="E10" s="2" t="s">
        <v>13</v>
      </c>
    </row>
    <row r="11" spans="1:13" x14ac:dyDescent="0.25">
      <c r="A11" s="45" t="s">
        <v>14</v>
      </c>
      <c r="B11" s="28" t="s">
        <v>1</v>
      </c>
      <c r="C11" s="7" t="s">
        <v>15</v>
      </c>
      <c r="D11" s="8">
        <v>1200</v>
      </c>
      <c r="E11" s="34">
        <v>3000</v>
      </c>
    </row>
    <row r="12" spans="1:13" x14ac:dyDescent="0.25">
      <c r="A12" s="29"/>
      <c r="B12" s="29"/>
      <c r="C12" s="9" t="s">
        <v>16</v>
      </c>
      <c r="D12" s="5">
        <v>1000</v>
      </c>
      <c r="E12" s="29"/>
      <c r="H12" s="35" t="s">
        <v>17</v>
      </c>
      <c r="I12" s="36"/>
      <c r="J12" s="36"/>
      <c r="K12" s="36"/>
      <c r="L12" s="36"/>
      <c r="M12" s="37"/>
    </row>
    <row r="13" spans="1:13" x14ac:dyDescent="0.25">
      <c r="A13" s="33"/>
      <c r="B13" s="30"/>
      <c r="C13" s="7" t="s">
        <v>18</v>
      </c>
      <c r="D13" s="8">
        <v>800</v>
      </c>
      <c r="E13" s="30"/>
      <c r="H13" s="10"/>
      <c r="I13" s="11" t="s">
        <v>1</v>
      </c>
      <c r="J13" s="11" t="s">
        <v>2</v>
      </c>
      <c r="K13" s="11" t="s">
        <v>3</v>
      </c>
      <c r="L13" s="11" t="s">
        <v>4</v>
      </c>
      <c r="M13" s="11" t="s">
        <v>5</v>
      </c>
    </row>
    <row r="14" spans="1:13" x14ac:dyDescent="0.25">
      <c r="A14" s="29"/>
      <c r="B14" s="9" t="s">
        <v>2</v>
      </c>
      <c r="C14" s="9" t="s">
        <v>19</v>
      </c>
      <c r="D14" s="5">
        <v>1400</v>
      </c>
      <c r="E14" s="12">
        <v>1400</v>
      </c>
      <c r="H14" s="13" t="s">
        <v>6</v>
      </c>
      <c r="I14" s="14">
        <v>35480</v>
      </c>
      <c r="J14" s="14">
        <v>23380</v>
      </c>
      <c r="K14" s="14">
        <v>43280</v>
      </c>
      <c r="L14" s="14">
        <v>38900</v>
      </c>
      <c r="M14" s="14">
        <v>2940</v>
      </c>
    </row>
    <row r="15" spans="1:13" x14ac:dyDescent="0.25">
      <c r="A15" s="33"/>
      <c r="B15" s="28" t="s">
        <v>3</v>
      </c>
      <c r="C15" s="7" t="s">
        <v>20</v>
      </c>
      <c r="D15" s="8">
        <v>800</v>
      </c>
      <c r="E15" s="34">
        <v>2400</v>
      </c>
      <c r="H15" s="13" t="s">
        <v>7</v>
      </c>
      <c r="I15" s="14">
        <v>35900</v>
      </c>
      <c r="J15" s="14">
        <v>27160</v>
      </c>
      <c r="K15" s="14">
        <v>45940</v>
      </c>
      <c r="L15" s="14">
        <v>41700</v>
      </c>
      <c r="M15" s="14">
        <v>5600</v>
      </c>
    </row>
    <row r="16" spans="1:13" x14ac:dyDescent="0.25">
      <c r="A16" s="29"/>
      <c r="B16" s="31"/>
      <c r="C16" s="9" t="s">
        <v>21</v>
      </c>
      <c r="D16" s="5">
        <v>1600</v>
      </c>
      <c r="E16" s="31"/>
      <c r="H16" s="13" t="s">
        <v>3</v>
      </c>
      <c r="I16" s="14">
        <v>52920</v>
      </c>
      <c r="J16" s="14">
        <v>62040</v>
      </c>
      <c r="K16" s="14">
        <v>2800</v>
      </c>
      <c r="L16" s="14">
        <v>67300</v>
      </c>
      <c r="M16" s="14">
        <v>39960</v>
      </c>
    </row>
    <row r="17" spans="1:5" x14ac:dyDescent="0.25">
      <c r="A17" s="33"/>
      <c r="B17" s="28" t="s">
        <v>4</v>
      </c>
      <c r="C17" s="7" t="s">
        <v>22</v>
      </c>
      <c r="D17" s="8">
        <v>2000</v>
      </c>
      <c r="E17" s="34">
        <v>3900</v>
      </c>
    </row>
    <row r="18" spans="1:5" x14ac:dyDescent="0.25">
      <c r="A18" s="29"/>
      <c r="B18" s="29"/>
      <c r="C18" s="9" t="s">
        <v>23</v>
      </c>
      <c r="D18" s="5">
        <v>1200</v>
      </c>
      <c r="E18" s="29"/>
    </row>
    <row r="19" spans="1:5" x14ac:dyDescent="0.25">
      <c r="A19" s="33"/>
      <c r="B19" s="30"/>
      <c r="C19" s="7" t="s">
        <v>24</v>
      </c>
      <c r="D19" s="8">
        <v>700</v>
      </c>
      <c r="E19" s="30"/>
    </row>
    <row r="20" spans="1:5" x14ac:dyDescent="0.25">
      <c r="A20" s="31"/>
      <c r="B20" s="9" t="s">
        <v>5</v>
      </c>
      <c r="C20" s="9" t="s">
        <v>25</v>
      </c>
      <c r="D20" s="5">
        <v>0</v>
      </c>
      <c r="E20" s="5">
        <v>0</v>
      </c>
    </row>
    <row r="21" spans="1:5" x14ac:dyDescent="0.25">
      <c r="A21" s="45" t="s">
        <v>7</v>
      </c>
      <c r="B21" s="28" t="s">
        <v>1</v>
      </c>
      <c r="C21" s="7" t="s">
        <v>15</v>
      </c>
      <c r="D21" s="8">
        <v>1200</v>
      </c>
      <c r="E21" s="34">
        <v>3000</v>
      </c>
    </row>
    <row r="22" spans="1:5" x14ac:dyDescent="0.25">
      <c r="A22" s="29"/>
      <c r="B22" s="29"/>
      <c r="C22" s="9" t="s">
        <v>16</v>
      </c>
      <c r="D22" s="5">
        <v>1000</v>
      </c>
      <c r="E22" s="29"/>
    </row>
    <row r="23" spans="1:5" x14ac:dyDescent="0.25">
      <c r="A23" s="33"/>
      <c r="B23" s="30"/>
      <c r="C23" s="7" t="s">
        <v>18</v>
      </c>
      <c r="D23" s="8">
        <v>800</v>
      </c>
      <c r="E23" s="30"/>
    </row>
    <row r="24" spans="1:5" x14ac:dyDescent="0.25">
      <c r="A24" s="29"/>
      <c r="B24" s="9" t="s">
        <v>2</v>
      </c>
      <c r="C24" s="9" t="s">
        <v>19</v>
      </c>
      <c r="D24" s="5">
        <v>1400</v>
      </c>
      <c r="E24" s="12">
        <v>1400</v>
      </c>
    </row>
    <row r="25" spans="1:5" x14ac:dyDescent="0.25">
      <c r="A25" s="33"/>
      <c r="B25" s="28" t="s">
        <v>3</v>
      </c>
      <c r="C25" s="7" t="s">
        <v>20</v>
      </c>
      <c r="D25" s="8">
        <v>800</v>
      </c>
      <c r="E25" s="34">
        <v>2400</v>
      </c>
    </row>
    <row r="26" spans="1:5" x14ac:dyDescent="0.25">
      <c r="A26" s="29"/>
      <c r="B26" s="31"/>
      <c r="C26" s="9" t="s">
        <v>21</v>
      </c>
      <c r="D26" s="5">
        <v>1600</v>
      </c>
      <c r="E26" s="31"/>
    </row>
    <row r="27" spans="1:5" x14ac:dyDescent="0.25">
      <c r="A27" s="33"/>
      <c r="B27" s="28" t="s">
        <v>4</v>
      </c>
      <c r="C27" s="7" t="s">
        <v>22</v>
      </c>
      <c r="D27" s="8">
        <v>2000</v>
      </c>
      <c r="E27" s="34">
        <v>3900</v>
      </c>
    </row>
    <row r="28" spans="1:5" x14ac:dyDescent="0.25">
      <c r="A28" s="29"/>
      <c r="B28" s="29"/>
      <c r="C28" s="9" t="s">
        <v>23</v>
      </c>
      <c r="D28" s="5">
        <v>1200</v>
      </c>
      <c r="E28" s="29"/>
    </row>
    <row r="29" spans="1:5" x14ac:dyDescent="0.25">
      <c r="A29" s="33"/>
      <c r="B29" s="30"/>
      <c r="C29" s="7" t="s">
        <v>26</v>
      </c>
      <c r="D29" s="8">
        <v>700</v>
      </c>
      <c r="E29" s="30"/>
    </row>
    <row r="30" spans="1:5" x14ac:dyDescent="0.25">
      <c r="A30" s="31"/>
      <c r="B30" s="9" t="s">
        <v>5</v>
      </c>
      <c r="C30" s="9" t="s">
        <v>25</v>
      </c>
      <c r="D30" s="5">
        <v>0</v>
      </c>
      <c r="E30" s="12">
        <v>0</v>
      </c>
    </row>
    <row r="31" spans="1:5" x14ac:dyDescent="0.25">
      <c r="A31" s="45" t="s">
        <v>3</v>
      </c>
      <c r="B31" s="7" t="s">
        <v>1</v>
      </c>
      <c r="C31" s="7" t="s">
        <v>25</v>
      </c>
      <c r="D31" s="8">
        <v>0</v>
      </c>
      <c r="E31" s="15">
        <v>0</v>
      </c>
    </row>
    <row r="32" spans="1:5" x14ac:dyDescent="0.25">
      <c r="A32" s="29"/>
      <c r="B32" s="32" t="s">
        <v>2</v>
      </c>
      <c r="C32" s="9" t="s">
        <v>19</v>
      </c>
      <c r="D32" s="5">
        <v>1400</v>
      </c>
      <c r="E32" s="38">
        <v>3000</v>
      </c>
    </row>
    <row r="33" spans="1:5" x14ac:dyDescent="0.25">
      <c r="A33" s="33"/>
      <c r="B33" s="33"/>
      <c r="C33" s="7" t="s">
        <v>27</v>
      </c>
      <c r="D33" s="8">
        <v>700</v>
      </c>
      <c r="E33" s="33"/>
    </row>
    <row r="34" spans="1:5" x14ac:dyDescent="0.25">
      <c r="A34" s="29"/>
      <c r="B34" s="31"/>
      <c r="C34" s="9" t="s">
        <v>28</v>
      </c>
      <c r="D34" s="5">
        <v>900</v>
      </c>
      <c r="E34" s="31"/>
    </row>
    <row r="35" spans="1:5" x14ac:dyDescent="0.25">
      <c r="A35" s="33"/>
      <c r="B35" s="7" t="s">
        <v>3</v>
      </c>
      <c r="C35" s="7" t="s">
        <v>25</v>
      </c>
      <c r="D35" s="8">
        <v>0</v>
      </c>
      <c r="E35" s="15">
        <v>0</v>
      </c>
    </row>
    <row r="36" spans="1:5" x14ac:dyDescent="0.25">
      <c r="A36" s="29"/>
      <c r="B36" s="32" t="s">
        <v>4</v>
      </c>
      <c r="C36" s="9" t="s">
        <v>29</v>
      </c>
      <c r="D36" s="5">
        <v>1100</v>
      </c>
      <c r="E36" s="38">
        <v>4300</v>
      </c>
    </row>
    <row r="37" spans="1:5" x14ac:dyDescent="0.25">
      <c r="A37" s="33"/>
      <c r="B37" s="33"/>
      <c r="C37" s="7" t="s">
        <v>30</v>
      </c>
      <c r="D37" s="8">
        <v>2000</v>
      </c>
      <c r="E37" s="33"/>
    </row>
    <row r="38" spans="1:5" x14ac:dyDescent="0.25">
      <c r="A38" s="29"/>
      <c r="B38" s="31"/>
      <c r="C38" s="9" t="s">
        <v>31</v>
      </c>
      <c r="D38" s="5">
        <v>1200</v>
      </c>
      <c r="E38" s="31"/>
    </row>
    <row r="39" spans="1:5" x14ac:dyDescent="0.25">
      <c r="A39" s="33"/>
      <c r="B39" s="28" t="s">
        <v>5</v>
      </c>
      <c r="C39" s="7" t="s">
        <v>27</v>
      </c>
      <c r="D39" s="8">
        <v>700</v>
      </c>
      <c r="E39" s="34">
        <v>1600</v>
      </c>
    </row>
    <row r="40" spans="1:5" x14ac:dyDescent="0.25">
      <c r="A40" s="31"/>
      <c r="B40" s="31"/>
      <c r="C40" s="9" t="s">
        <v>28</v>
      </c>
      <c r="D40" s="5">
        <v>900</v>
      </c>
      <c r="E40" s="31"/>
    </row>
  </sheetData>
  <mergeCells count="24">
    <mergeCell ref="E39:E40"/>
    <mergeCell ref="B39:B40"/>
    <mergeCell ref="A1:F1"/>
    <mergeCell ref="A9:E9"/>
    <mergeCell ref="E11:E13"/>
    <mergeCell ref="A11:A20"/>
    <mergeCell ref="B11:B13"/>
    <mergeCell ref="A21:A30"/>
    <mergeCell ref="A31:A40"/>
    <mergeCell ref="B32:B34"/>
    <mergeCell ref="B36:B38"/>
    <mergeCell ref="E15:E16"/>
    <mergeCell ref="E17:E19"/>
    <mergeCell ref="H12:M12"/>
    <mergeCell ref="E21:E23"/>
    <mergeCell ref="E25:E26"/>
    <mergeCell ref="E27:E29"/>
    <mergeCell ref="E36:E38"/>
    <mergeCell ref="E32:E34"/>
    <mergeCell ref="B17:B19"/>
    <mergeCell ref="B15:B16"/>
    <mergeCell ref="B21:B23"/>
    <mergeCell ref="B25:B26"/>
    <mergeCell ref="B27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8"/>
  <sheetViews>
    <sheetView tabSelected="1" workbookViewId="0">
      <selection activeCell="D23" sqref="D23"/>
    </sheetView>
  </sheetViews>
  <sheetFormatPr defaultColWidth="12.6640625" defaultRowHeight="15.75" customHeight="1" x14ac:dyDescent="0.25"/>
  <cols>
    <col min="1" max="1" width="18.88671875" customWidth="1"/>
    <col min="7" max="7" width="15.33203125" customWidth="1"/>
    <col min="8" max="8" width="15.109375" customWidth="1"/>
    <col min="9" max="9" width="16.109375" customWidth="1"/>
  </cols>
  <sheetData>
    <row r="1" spans="1:10" ht="13.2" x14ac:dyDescent="0.25">
      <c r="A1" s="35" t="s">
        <v>32</v>
      </c>
      <c r="B1" s="36"/>
      <c r="C1" s="36"/>
      <c r="D1" s="36"/>
      <c r="E1" s="36"/>
      <c r="F1" s="36"/>
      <c r="G1" s="37"/>
    </row>
    <row r="2" spans="1:10" ht="13.2" x14ac:dyDescent="0.25">
      <c r="A2" s="10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33</v>
      </c>
    </row>
    <row r="3" spans="1:10" ht="30.75" customHeight="1" x14ac:dyDescent="0.25">
      <c r="A3" s="13" t="s">
        <v>6</v>
      </c>
      <c r="B3" s="14">
        <v>35480</v>
      </c>
      <c r="C3" s="14">
        <v>23380</v>
      </c>
      <c r="D3" s="14">
        <v>43280</v>
      </c>
      <c r="E3" s="14">
        <v>38900</v>
      </c>
      <c r="F3" s="14">
        <v>2940</v>
      </c>
      <c r="G3" s="16">
        <v>45000</v>
      </c>
    </row>
    <row r="4" spans="1:10" ht="27" customHeight="1" x14ac:dyDescent="0.25">
      <c r="A4" s="13" t="s">
        <v>7</v>
      </c>
      <c r="B4" s="14">
        <v>35900</v>
      </c>
      <c r="C4" s="14">
        <v>27160</v>
      </c>
      <c r="D4" s="14">
        <v>45940</v>
      </c>
      <c r="E4" s="14">
        <v>41700</v>
      </c>
      <c r="F4" s="14">
        <v>5600</v>
      </c>
      <c r="G4" s="16">
        <v>90000</v>
      </c>
      <c r="I4" s="17" t="s">
        <v>34</v>
      </c>
      <c r="J4" s="18">
        <f>SUM(G3:G5)</f>
        <v>215000</v>
      </c>
    </row>
    <row r="5" spans="1:10" ht="25.5" customHeight="1" x14ac:dyDescent="0.25">
      <c r="A5" s="13" t="s">
        <v>3</v>
      </c>
      <c r="B5" s="14">
        <v>52920</v>
      </c>
      <c r="C5" s="14">
        <v>62040</v>
      </c>
      <c r="D5" s="14">
        <v>2800</v>
      </c>
      <c r="E5" s="14">
        <v>67300</v>
      </c>
      <c r="F5" s="14">
        <v>39960</v>
      </c>
      <c r="G5" s="16">
        <v>80000</v>
      </c>
      <c r="I5" s="17" t="s">
        <v>35</v>
      </c>
      <c r="J5" s="18">
        <f>SUM(B6:F6)</f>
        <v>247000</v>
      </c>
    </row>
    <row r="6" spans="1:10" ht="29.25" customHeight="1" x14ac:dyDescent="0.25">
      <c r="A6" s="13" t="s">
        <v>36</v>
      </c>
      <c r="B6" s="16">
        <v>52000</v>
      </c>
      <c r="C6" s="16">
        <v>35000</v>
      </c>
      <c r="D6" s="16">
        <v>50000</v>
      </c>
      <c r="E6" s="16">
        <v>50000</v>
      </c>
      <c r="F6" s="16">
        <v>60000</v>
      </c>
      <c r="G6" s="16"/>
    </row>
    <row r="9" spans="1:10" ht="13.2" x14ac:dyDescent="0.25">
      <c r="A9" s="10"/>
      <c r="B9" s="19" t="s">
        <v>1</v>
      </c>
      <c r="C9" s="19" t="s">
        <v>2</v>
      </c>
      <c r="D9" s="19" t="s">
        <v>3</v>
      </c>
      <c r="E9" s="19" t="s">
        <v>4</v>
      </c>
      <c r="F9" s="19" t="s">
        <v>5</v>
      </c>
      <c r="G9" s="19" t="s">
        <v>37</v>
      </c>
      <c r="H9" s="19" t="s">
        <v>38</v>
      </c>
      <c r="I9" s="19" t="s">
        <v>33</v>
      </c>
    </row>
    <row r="10" spans="1:10" ht="13.2" x14ac:dyDescent="0.25">
      <c r="A10" s="20" t="s">
        <v>6</v>
      </c>
      <c r="B10" s="21">
        <v>0</v>
      </c>
      <c r="C10" s="21">
        <v>35000</v>
      </c>
      <c r="D10" s="21">
        <v>0</v>
      </c>
      <c r="E10" s="21">
        <v>10000</v>
      </c>
      <c r="F10" s="21">
        <v>0</v>
      </c>
      <c r="G10" s="10">
        <f t="shared" ref="G10:I12" si="0">SUM(B10:F10)</f>
        <v>45000</v>
      </c>
      <c r="H10" s="22" t="s">
        <v>39</v>
      </c>
      <c r="I10" s="10">
        <v>45000</v>
      </c>
    </row>
    <row r="11" spans="1:10" ht="13.2" x14ac:dyDescent="0.25">
      <c r="A11" s="20" t="s">
        <v>7</v>
      </c>
      <c r="B11" s="21">
        <v>22000</v>
      </c>
      <c r="C11" s="21">
        <v>0</v>
      </c>
      <c r="D11" s="21">
        <v>0</v>
      </c>
      <c r="E11" s="21">
        <v>8000</v>
      </c>
      <c r="F11" s="21">
        <v>60000</v>
      </c>
      <c r="G11" s="10">
        <f t="shared" si="0"/>
        <v>90000</v>
      </c>
      <c r="H11" s="22" t="s">
        <v>39</v>
      </c>
      <c r="I11" s="10">
        <v>90000</v>
      </c>
    </row>
    <row r="12" spans="1:10" ht="13.2" x14ac:dyDescent="0.25">
      <c r="A12" s="20" t="s">
        <v>3</v>
      </c>
      <c r="B12" s="21">
        <v>30000</v>
      </c>
      <c r="C12" s="21">
        <v>0</v>
      </c>
      <c r="D12" s="21">
        <v>50000</v>
      </c>
      <c r="E12" s="21">
        <v>0</v>
      </c>
      <c r="F12" s="21">
        <v>0</v>
      </c>
      <c r="G12" s="10">
        <f t="shared" si="0"/>
        <v>80000</v>
      </c>
      <c r="H12" s="22" t="s">
        <v>39</v>
      </c>
      <c r="I12" s="10">
        <v>80000</v>
      </c>
    </row>
    <row r="13" spans="1:10" ht="13.2" x14ac:dyDescent="0.25">
      <c r="A13" s="20" t="s">
        <v>37</v>
      </c>
      <c r="B13" s="10">
        <f t="shared" ref="B13:F15" si="1">SUM(B10:B12)</f>
        <v>52000</v>
      </c>
      <c r="C13" s="10">
        <f>SUM(C10:C12)</f>
        <v>35000</v>
      </c>
      <c r="D13" s="10">
        <f t="shared" si="1"/>
        <v>50000</v>
      </c>
      <c r="E13" s="10">
        <f t="shared" si="1"/>
        <v>18000</v>
      </c>
      <c r="F13" s="10">
        <f>SUM(F10:F12)</f>
        <v>60000</v>
      </c>
      <c r="G13" s="46"/>
      <c r="H13" s="47"/>
      <c r="I13" s="48"/>
    </row>
    <row r="14" spans="1:10" ht="13.2" x14ac:dyDescent="0.25">
      <c r="A14" s="20" t="s">
        <v>38</v>
      </c>
      <c r="B14" s="23" t="s">
        <v>40</v>
      </c>
      <c r="C14" s="23" t="s">
        <v>40</v>
      </c>
      <c r="D14" s="23" t="s">
        <v>40</v>
      </c>
      <c r="E14" s="23" t="s">
        <v>40</v>
      </c>
      <c r="F14" s="23" t="s">
        <v>40</v>
      </c>
      <c r="G14" s="49"/>
      <c r="H14" s="50"/>
      <c r="I14" s="51"/>
    </row>
    <row r="15" spans="1:10" ht="13.2" x14ac:dyDescent="0.25">
      <c r="A15" s="20" t="s">
        <v>41</v>
      </c>
      <c r="B15" s="10">
        <v>52000</v>
      </c>
      <c r="C15" s="10">
        <v>35000</v>
      </c>
      <c r="D15" s="10">
        <v>50000</v>
      </c>
      <c r="E15" s="10">
        <v>50000</v>
      </c>
      <c r="F15" s="10">
        <v>60000</v>
      </c>
      <c r="G15" s="52"/>
      <c r="H15" s="53"/>
      <c r="I15" s="54"/>
    </row>
    <row r="18" spans="1:2" ht="13.2" x14ac:dyDescent="0.25">
      <c r="A18" s="24" t="s">
        <v>42</v>
      </c>
      <c r="B18" s="25">
        <f>SUMPRODUCT(B3:F5,B10:F12)</f>
        <v>4394300000</v>
      </c>
    </row>
  </sheetData>
  <mergeCells count="2">
    <mergeCell ref="G13:I15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>
    <row r="1" spans="1:1" x14ac:dyDescent="0.25">
      <c r="A1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8"/>
  <sheetViews>
    <sheetView workbookViewId="0"/>
  </sheetViews>
  <sheetFormatPr defaultColWidth="12.6640625" defaultRowHeight="15.75" customHeight="1" x14ac:dyDescent="0.25"/>
  <sheetData>
    <row r="1" spans="1:1" x14ac:dyDescent="0.25">
      <c r="A1" s="27" t="e">
        <f>ModelSheet=Solution!A:Z</f>
        <v>#NAME?</v>
      </c>
    </row>
    <row r="2" spans="1:1" x14ac:dyDescent="0.25">
      <c r="A2" s="27" t="e">
        <f>OpenSolver_AdjNum=1</f>
        <v>#NAME?</v>
      </c>
    </row>
    <row r="3" spans="1:1" x14ac:dyDescent="0.25">
      <c r="A3" s="27" t="e">
        <f>OpenSolver_ChosenSolver=Google</f>
        <v>#NAME?</v>
      </c>
    </row>
    <row r="4" spans="1:1" x14ac:dyDescent="0.25">
      <c r="A4" s="27" t="e">
        <f>OpenSolver_FastBuild=0</f>
        <v>#NAME?</v>
      </c>
    </row>
    <row r="5" spans="1:1" x14ac:dyDescent="0.25">
      <c r="A5" s="27" t="e">
        <f>OpenSolver_LinearityCheck=1</f>
        <v>#NAME?</v>
      </c>
    </row>
    <row r="6" spans="1:1" x14ac:dyDescent="0.25">
      <c r="A6" s="27" t="e">
        <f>solver_adj=Solution!B10:F12</f>
        <v>#NAME?</v>
      </c>
    </row>
    <row r="7" spans="1:1" x14ac:dyDescent="0.25">
      <c r="A7" s="27" t="e">
        <f>solver_lhs1=Solution!I10:I12</f>
        <v>#NAME?</v>
      </c>
    </row>
    <row r="8" spans="1:1" x14ac:dyDescent="0.25">
      <c r="A8" s="27" t="e">
        <f>solver_lhs2=Solution!B15:F15</f>
        <v>#NAME?</v>
      </c>
    </row>
    <row r="9" spans="1:1" x14ac:dyDescent="0.25">
      <c r="A9" s="27" t="e">
        <f>solver_neg=1</f>
        <v>#NAME?</v>
      </c>
    </row>
    <row r="10" spans="1:1" x14ac:dyDescent="0.25">
      <c r="A10" s="27" t="e">
        <f>solver_num=2</f>
        <v>#NAME?</v>
      </c>
    </row>
    <row r="11" spans="1:1" x14ac:dyDescent="0.25">
      <c r="A11" s="27" t="e">
        <f>solver_opt=Solution!B18</f>
        <v>#NAME?</v>
      </c>
    </row>
    <row r="12" spans="1:1" x14ac:dyDescent="0.25">
      <c r="A12" s="27" t="e">
        <f>solver_rel1=2</f>
        <v>#NAME?</v>
      </c>
    </row>
    <row r="13" spans="1:1" x14ac:dyDescent="0.25">
      <c r="A13" s="27" t="e">
        <f>solver_rel2=1</f>
        <v>#NAME?</v>
      </c>
    </row>
    <row r="14" spans="1:1" x14ac:dyDescent="0.25">
      <c r="A14" s="27" t="e">
        <f>solver_rhs1=Solution!G2:G4</f>
        <v>#NAME?</v>
      </c>
    </row>
    <row r="15" spans="1:1" x14ac:dyDescent="0.25">
      <c r="A15" s="27" t="e">
        <f>solver_rhs2=Solution!B5:F5</f>
        <v>#NAME?</v>
      </c>
    </row>
    <row r="16" spans="1:1" x14ac:dyDescent="0.25">
      <c r="A16" s="27" t="e">
        <f>solver_sho=1</f>
        <v>#NAME?</v>
      </c>
    </row>
    <row r="17" spans="1:1" x14ac:dyDescent="0.25">
      <c r="A17" s="27" t="e">
        <f>solver_typ=2</f>
        <v>#NAME?</v>
      </c>
    </row>
    <row r="18" spans="1:1" x14ac:dyDescent="0.25">
      <c r="A18" s="27" t="e">
        <f>solver_val=0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Solution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Tawfique</cp:lastModifiedBy>
  <dcterms:modified xsi:type="dcterms:W3CDTF">2026-01-29T11:07:19Z</dcterms:modified>
</cp:coreProperties>
</file>